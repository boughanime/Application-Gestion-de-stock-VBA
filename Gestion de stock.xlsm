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ghanime\Desktop\"/>
    </mc:Choice>
  </mc:AlternateContent>
  <xr:revisionPtr revIDLastSave="0" documentId="13_ncr:1_{56E83F20-6A99-4EF9-AB72-D1B994DEC79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Accuiel" sheetId="4" r:id="rId1"/>
    <sheet name="au 18 11 2021" sheetId="3" r:id="rId2"/>
    <sheet name="Calcul" sheetId="5" state="hidden" r:id="rId3"/>
  </sheets>
  <functionGroups builtInGroupCount="19"/>
  <definedNames>
    <definedName name="Col_codeEtude">Calcul!$A$2</definedName>
    <definedName name="Col_LivrerOuPas">Calcul!$F$2</definedName>
    <definedName name="Col_QttEntrer">Calcul!$D$2</definedName>
    <definedName name="Col_QttLivrer">Calcul!$C$2</definedName>
    <definedName name="Col_QttStock">Calcul!$B$2</definedName>
    <definedName name="Col_Statut">Calcul!$E$2</definedName>
    <definedName name="QttAprés">Calcul!$H$2</definedName>
    <definedName name="QttApresLentrer">Calcul!$I$2</definedName>
    <definedName name="QttAprs">Calcul!$H$2</definedName>
    <definedName name="Tabl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5" l="1"/>
  <c r="I2" i="5"/>
  <c r="E2" i="5"/>
  <c r="F2" i="5" s="1"/>
</calcChain>
</file>

<file path=xl/sharedStrings.xml><?xml version="1.0" encoding="utf-8"?>
<sst xmlns="http://schemas.openxmlformats.org/spreadsheetml/2006/main" count="200" uniqueCount="110">
  <si>
    <t>ETUDE</t>
  </si>
  <si>
    <t>Référence (Reproserveur ou devis)</t>
  </si>
  <si>
    <t>Note</t>
  </si>
  <si>
    <t>Quantité en stock  au 18.11.21</t>
  </si>
  <si>
    <t>Commentaires</t>
  </si>
  <si>
    <t>DUO-0</t>
  </si>
  <si>
    <t>DUO-0 ICF principal CSP V4</t>
  </si>
  <si>
    <t>DUO-O ICF prescreening CSP V4</t>
  </si>
  <si>
    <t>EMERALD 2</t>
  </si>
  <si>
    <t>CAPITELLO 281</t>
  </si>
  <si>
    <t>MESSINA</t>
  </si>
  <si>
    <t>ICF Adults V2</t>
  </si>
  <si>
    <t>MERMAID 1</t>
  </si>
  <si>
    <t>DESTINATION ICF N°3</t>
  </si>
  <si>
    <t xml:space="preserve"> ICF N°3 patient adulte</t>
  </si>
  <si>
    <t>ICF N°2 Prolong  Patient Adulte</t>
  </si>
  <si>
    <t>ICF Compl N°4  COVID 19 patient adulte V1.0</t>
  </si>
  <si>
    <t>ICF_n°2 COVID-19  patient mineur v1.0</t>
  </si>
  <si>
    <t>DESTINY 06</t>
  </si>
  <si>
    <t>ICF pre-sreenig - ISF Patient  Destiny-06</t>
  </si>
  <si>
    <t xml:space="preserve"> ICF Génétique - ISF Patient  Destiny-06</t>
  </si>
  <si>
    <t>DEVIS 32543</t>
  </si>
  <si>
    <t>DEVIS 32540</t>
  </si>
  <si>
    <t>DEVIS 32541</t>
  </si>
  <si>
    <t>DOC PATIENT</t>
  </si>
  <si>
    <t>DOC BIOMARQUEUR</t>
  </si>
  <si>
    <t>DUO-O ICF compl V1 8 jun 21</t>
  </si>
  <si>
    <t>DUo-O ICF addendum 8 Jun 21</t>
  </si>
  <si>
    <t>MESSINA - ICF adultes V3</t>
  </si>
  <si>
    <t>MESSINA - ICF Patients mineurs V3</t>
  </si>
  <si>
    <t>MESSINA - ICF parents mineurs V3</t>
  </si>
  <si>
    <t xml:space="preserve">LIVRETS </t>
  </si>
  <si>
    <t>LIVRETS FOURNIS PAR VOS SOINS</t>
  </si>
  <si>
    <t>KUNLUN</t>
  </si>
  <si>
    <t>DESTINY BREAST 08</t>
  </si>
  <si>
    <t>MERMAID 1 PHARMA CENTRE 2302</t>
  </si>
  <si>
    <t>EMERALD 1</t>
  </si>
  <si>
    <t>MATTERHORN</t>
  </si>
  <si>
    <t>ICF Génétique Tripliqués</t>
  </si>
  <si>
    <t>ICFS Tripliqués ADULT</t>
  </si>
  <si>
    <t>MERMAID 2</t>
  </si>
  <si>
    <t>1_1. INF - D910MC00001_FR_ICF Patient premier screening v1.1_18d_c2020_clean</t>
  </si>
  <si>
    <t>2. INF - D910MC00001_FR_ICF Patient deuxi�me screening v2.0_clean</t>
  </si>
  <si>
    <t>3_3. INF - D910MC00001_FR_ICF p_riode observationnelle v1.1_18d_c20_clean</t>
  </si>
  <si>
    <t>4_4. INF - D910MC00001_FR_ICF G_n_tique v1.1_18d_c2020_clean</t>
  </si>
  <si>
    <t>AMPLIFY</t>
  </si>
  <si>
    <t>INTERLINK</t>
  </si>
  <si>
    <t>INTERLINK-1 - ICF V1.1</t>
  </si>
  <si>
    <t>INTERLINK-1 - Carte patient V1</t>
  </si>
  <si>
    <t>CAPITELLO 290</t>
  </si>
  <si>
    <t>EMERALD</t>
  </si>
  <si>
    <t>ADAURA</t>
  </si>
  <si>
    <t>PACIFIC 4</t>
  </si>
  <si>
    <t>PACIFIC-4 - ICF V4</t>
  </si>
  <si>
    <t>PACIFIC4 - Carte patient V2</t>
  </si>
  <si>
    <t xml:space="preserve">EMERALD </t>
  </si>
  <si>
    <t xml:space="preserve">DESTINATION   </t>
  </si>
  <si>
    <t>HIMALAYA</t>
  </si>
  <si>
    <t>ORCHID</t>
  </si>
  <si>
    <t>MESSINA - Cartes patients OL extension et DB + OL</t>
  </si>
  <si>
    <t>MME GHOUL</t>
  </si>
  <si>
    <t xml:space="preserve">Trastuzumab Deruxtecan (DS-8201a/T-DXd) </t>
  </si>
  <si>
    <t>2- Sample-of-subject-diary-cards V3 FR 24aug2020</t>
  </si>
  <si>
    <t>3- study-patient-info-guide-for-pneumo V1 FR 30juillet2020</t>
  </si>
  <si>
    <t>DEVIS 32919</t>
  </si>
  <si>
    <t>PATIENT WALLET</t>
  </si>
  <si>
    <t>Patient Wallet Card_8201_June2020 V1 FR 3</t>
  </si>
  <si>
    <t>50+7+20+14</t>
  </si>
  <si>
    <t>DEVIS 32172</t>
  </si>
  <si>
    <t>CAPITELLO 292</t>
  </si>
  <si>
    <t>INTERLINK 1</t>
  </si>
  <si>
    <t>DEVIS 32151</t>
  </si>
  <si>
    <t>DESTINY 1</t>
  </si>
  <si>
    <t>DESTINY BREAST 06</t>
  </si>
  <si>
    <t>DEVIS 32128</t>
  </si>
  <si>
    <t>ICF Principal - ISF Patient Destiny-06</t>
  </si>
  <si>
    <t>ICF Génétique - ISF Patient Destiny-06</t>
  </si>
  <si>
    <t>POTOMAC</t>
  </si>
  <si>
    <t>D3255C0001</t>
  </si>
  <si>
    <t>GUIDE</t>
  </si>
  <si>
    <t>(4 modèles)</t>
  </si>
  <si>
    <t>DEVIS 33505</t>
  </si>
  <si>
    <t>MERMAID2</t>
  </si>
  <si>
    <t>ICF GENETIQUE</t>
  </si>
  <si>
    <t>ICF ADULTE</t>
  </si>
  <si>
    <t>IDF ADULTE</t>
  </si>
  <si>
    <t>GROSSESSE</t>
  </si>
  <si>
    <t>NEW INF</t>
  </si>
  <si>
    <t>ICF PARTENAIRE ENCEINTE</t>
  </si>
  <si>
    <t>FTIH</t>
  </si>
  <si>
    <t>ICF GROSSESSE</t>
  </si>
  <si>
    <t>IB 17</t>
  </si>
  <si>
    <t>SERENA 4</t>
  </si>
  <si>
    <t>EMERALD2_ICF Adulte_version 4.1_stock</t>
  </si>
  <si>
    <t>DEVIS 33010</t>
  </si>
  <si>
    <t>ETUDE CAPITELLO 281-Commande CARNET PATIENT</t>
  </si>
  <si>
    <t>SERENA 6</t>
  </si>
  <si>
    <t>CARTE PARTICIPATION</t>
  </si>
  <si>
    <t>FICHE POSO PATIENT</t>
  </si>
  <si>
    <t>242392s</t>
  </si>
  <si>
    <t xml:space="preserve"> </t>
  </si>
  <si>
    <t xml:space="preserve">MESSINA </t>
  </si>
  <si>
    <t>CodeEtude</t>
  </si>
  <si>
    <t>Quantite en stock</t>
  </si>
  <si>
    <t>quantite à livrer</t>
  </si>
  <si>
    <t>Statut</t>
  </si>
  <si>
    <t>Livrer ou pas</t>
  </si>
  <si>
    <t>Quantite après la livraison</t>
  </si>
  <si>
    <t>quantite à entrer</t>
  </si>
  <si>
    <t xml:space="preserve">Quantite Apres l'entrer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</si>
</sst>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b/>
      <sz val="20"/>
      <color rgb="FF0000FF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66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165" fontId="3" fillId="0" borderId="1" xfId="1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165" fontId="4" fillId="0" borderId="1" xfId="1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165" fontId="4" fillId="0" borderId="2" xfId="1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165" fontId="2" fillId="2" borderId="1" xfId="1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/>
  </cellXfs>
  <cellStyles count="2">
    <cellStyle name="Milliers" xfId="1" builtinId="3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5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5" formatCode="_-* #,##0_-;\-* #,##0_-;_-* &quot;-&quot;??_-;_-@_-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22860</xdr:rowOff>
        </xdr:from>
        <xdr:to>
          <xdr:col>4</xdr:col>
          <xdr:colOff>784860</xdr:colOff>
          <xdr:row>9</xdr:row>
          <xdr:rowOff>167640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Gestion de stock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0C1688-DCE5-4256-8BBF-C8869E1B8AB6}" name="TableauStock" displayName="TableauStock" ref="A1:E124" totalsRowShown="0" headerRowBorderDxfId="7" tableBorderDxfId="6" totalsRowBorderDxfId="5">
  <autoFilter ref="A1:E124" xr:uid="{740C1688-DCE5-4256-8BBF-C8869E1B8AB6}"/>
  <tableColumns count="5">
    <tableColumn id="1" xr3:uid="{D3CF41BA-0636-4093-8530-D7818FB1D451}" name="ETUDE" dataDxfId="4"/>
    <tableColumn id="2" xr3:uid="{C919F3CD-68C3-4F03-B11F-FC00917475D4}" name="Référence (Reproserveur ou devis)" dataDxfId="3"/>
    <tableColumn id="3" xr3:uid="{760E4909-CEAA-4092-9978-5BFDEB63C5B4}" name="Note" dataDxfId="2"/>
    <tableColumn id="4" xr3:uid="{FDE16596-2DAC-45F9-89C7-B94D02F152AF}" name="Quantité en stock  au 18.11.21" dataDxfId="1" dataCellStyle="Milliers"/>
    <tableColumn id="5" xr3:uid="{CA1A8D6A-20FD-419B-B731-BE112ED1CD6E}" name="Commentaires" dataDxfId="0" dataCellStyle="Millier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9CE9F-975C-4232-AF1E-88DA221565BA}">
  <sheetPr codeName="Accuiel"/>
  <dimension ref="A1"/>
  <sheetViews>
    <sheetView workbookViewId="0">
      <selection activeCell="F5" sqref="F5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MenuDonnées">
                <anchor moveWithCells="1" sizeWithCells="1">
                  <from>
                    <xdr:col>2</xdr:col>
                    <xdr:colOff>7620</xdr:colOff>
                    <xdr:row>4</xdr:row>
                    <xdr:rowOff>22860</xdr:rowOff>
                  </from>
                  <to>
                    <xdr:col>4</xdr:col>
                    <xdr:colOff>784860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69535-6E4C-453B-9D5E-D7AAE99D9C58}">
  <sheetPr codeName="donnees"/>
  <dimension ref="A1:E133"/>
  <sheetViews>
    <sheetView tabSelected="1" topLeftCell="A106" workbookViewId="0">
      <selection activeCell="E121" sqref="E121"/>
    </sheetView>
  </sheetViews>
  <sheetFormatPr baseColWidth="10" defaultRowHeight="14.4" x14ac:dyDescent="0.3"/>
  <cols>
    <col min="1" max="1" width="13.44140625" customWidth="1"/>
    <col min="2" max="2" width="29.88671875" customWidth="1"/>
    <col min="3" max="3" width="48" customWidth="1"/>
    <col min="4" max="4" width="16.88671875" customWidth="1"/>
    <col min="5" max="5" width="46.88671875" customWidth="1"/>
  </cols>
  <sheetData>
    <row r="1" spans="1:5" ht="28.8" customHeight="1" x14ac:dyDescent="0.3">
      <c r="A1" s="12" t="s">
        <v>0</v>
      </c>
      <c r="B1" s="13" t="s">
        <v>1</v>
      </c>
      <c r="C1" s="13" t="s">
        <v>2</v>
      </c>
      <c r="D1" s="14" t="s">
        <v>3</v>
      </c>
      <c r="E1" s="12" t="s">
        <v>4</v>
      </c>
    </row>
    <row r="2" spans="1:5" ht="15.6" x14ac:dyDescent="0.3">
      <c r="A2" s="6">
        <v>250086</v>
      </c>
      <c r="B2" s="1" t="s">
        <v>9</v>
      </c>
      <c r="C2" s="1"/>
      <c r="D2" s="2"/>
      <c r="E2" s="2"/>
    </row>
    <row r="3" spans="1:5" ht="15.6" x14ac:dyDescent="0.3">
      <c r="A3" s="6">
        <v>250087</v>
      </c>
      <c r="B3" s="1" t="s">
        <v>9</v>
      </c>
      <c r="C3" s="1"/>
      <c r="D3" s="2">
        <v>31</v>
      </c>
      <c r="E3" s="2"/>
    </row>
    <row r="4" spans="1:5" ht="15.6" x14ac:dyDescent="0.3">
      <c r="A4" s="6">
        <v>249703</v>
      </c>
      <c r="B4" s="1" t="s">
        <v>101</v>
      </c>
      <c r="C4" s="1" t="s">
        <v>11</v>
      </c>
      <c r="D4" s="2">
        <v>12</v>
      </c>
      <c r="E4" s="2"/>
    </row>
    <row r="5" spans="1:5" ht="15.6" x14ac:dyDescent="0.3">
      <c r="A5" s="6">
        <v>240404</v>
      </c>
      <c r="B5" s="1" t="s">
        <v>10</v>
      </c>
      <c r="C5" s="1"/>
      <c r="D5" s="2">
        <v>15</v>
      </c>
      <c r="E5" s="2"/>
    </row>
    <row r="6" spans="1:5" ht="15.6" x14ac:dyDescent="0.3">
      <c r="A6" s="6">
        <v>248119</v>
      </c>
      <c r="B6" s="1" t="s">
        <v>12</v>
      </c>
      <c r="C6" s="1"/>
      <c r="D6" s="2">
        <v>22</v>
      </c>
      <c r="E6" s="2"/>
    </row>
    <row r="7" spans="1:5" ht="15.6" x14ac:dyDescent="0.3">
      <c r="A7" s="6">
        <v>242392</v>
      </c>
      <c r="B7" s="1" t="s">
        <v>13</v>
      </c>
      <c r="C7" s="3" t="s">
        <v>14</v>
      </c>
      <c r="D7" s="2">
        <v>4</v>
      </c>
      <c r="E7" s="2"/>
    </row>
    <row r="8" spans="1:5" ht="15.6" x14ac:dyDescent="0.3">
      <c r="A8" s="6">
        <v>242392</v>
      </c>
      <c r="B8" s="1" t="s">
        <v>13</v>
      </c>
      <c r="C8" s="3" t="s">
        <v>15</v>
      </c>
      <c r="D8" s="2">
        <v>5</v>
      </c>
      <c r="E8" s="2"/>
    </row>
    <row r="9" spans="1:5" ht="15.6" x14ac:dyDescent="0.3">
      <c r="A9" s="6">
        <v>242392</v>
      </c>
      <c r="B9" s="1" t="s">
        <v>13</v>
      </c>
      <c r="C9" s="3" t="s">
        <v>16</v>
      </c>
      <c r="D9" s="2">
        <v>6</v>
      </c>
      <c r="E9" s="2"/>
    </row>
    <row r="10" spans="1:5" ht="29.4" customHeight="1" x14ac:dyDescent="0.3">
      <c r="A10" s="6">
        <v>242392</v>
      </c>
      <c r="B10" s="1" t="s">
        <v>13</v>
      </c>
      <c r="C10" s="3" t="s">
        <v>17</v>
      </c>
      <c r="D10" s="2">
        <v>76</v>
      </c>
      <c r="E10" s="2"/>
    </row>
    <row r="11" spans="1:5" ht="25.8" customHeight="1" x14ac:dyDescent="0.3">
      <c r="A11" s="6">
        <v>246181</v>
      </c>
      <c r="B11" s="1" t="s">
        <v>18</v>
      </c>
      <c r="C11" s="3" t="s">
        <v>19</v>
      </c>
      <c r="D11" s="2">
        <v>1</v>
      </c>
      <c r="E11" s="2"/>
    </row>
    <row r="12" spans="1:5" ht="15.6" x14ac:dyDescent="0.3">
      <c r="A12" s="6">
        <v>246181</v>
      </c>
      <c r="B12" s="1" t="s">
        <v>18</v>
      </c>
      <c r="C12" s="3" t="s">
        <v>20</v>
      </c>
      <c r="D12" s="2">
        <v>1</v>
      </c>
      <c r="E12" s="2"/>
    </row>
    <row r="13" spans="1:5" ht="15.6" x14ac:dyDescent="0.3">
      <c r="A13" s="6" t="s">
        <v>21</v>
      </c>
      <c r="B13" s="1" t="s">
        <v>9</v>
      </c>
      <c r="C13" s="1"/>
      <c r="D13" s="2">
        <v>18</v>
      </c>
      <c r="E13" s="2"/>
    </row>
    <row r="14" spans="1:5" ht="15.6" x14ac:dyDescent="0.3">
      <c r="A14" s="6" t="s">
        <v>22</v>
      </c>
      <c r="B14" s="1" t="s">
        <v>9</v>
      </c>
      <c r="C14" s="1"/>
      <c r="D14" s="2">
        <v>24</v>
      </c>
      <c r="E14" s="2"/>
    </row>
    <row r="15" spans="1:5" ht="15.6" x14ac:dyDescent="0.3">
      <c r="A15" s="6" t="s">
        <v>23</v>
      </c>
      <c r="B15" s="1" t="s">
        <v>9</v>
      </c>
      <c r="C15" s="1"/>
      <c r="D15" s="2">
        <v>20</v>
      </c>
      <c r="E15" s="2"/>
    </row>
    <row r="16" spans="1:5" ht="15.6" x14ac:dyDescent="0.3">
      <c r="A16" s="6">
        <v>254559</v>
      </c>
      <c r="B16" s="1" t="s">
        <v>9</v>
      </c>
      <c r="C16" s="1" t="s">
        <v>25</v>
      </c>
      <c r="D16" s="2">
        <v>17</v>
      </c>
      <c r="E16" s="2"/>
    </row>
    <row r="17" spans="1:5" ht="15.6" x14ac:dyDescent="0.3">
      <c r="A17" s="6">
        <v>252298</v>
      </c>
      <c r="B17" s="1" t="s">
        <v>5</v>
      </c>
      <c r="C17" s="1"/>
      <c r="D17" s="2">
        <v>17</v>
      </c>
      <c r="E17" s="2"/>
    </row>
    <row r="18" spans="1:5" ht="15.6" x14ac:dyDescent="0.3">
      <c r="A18" s="6">
        <v>253188</v>
      </c>
      <c r="B18" s="1" t="s">
        <v>5</v>
      </c>
      <c r="C18" s="3" t="s">
        <v>26</v>
      </c>
      <c r="D18" s="2">
        <v>12</v>
      </c>
      <c r="E18" s="2"/>
    </row>
    <row r="19" spans="1:5" ht="15.6" x14ac:dyDescent="0.3">
      <c r="A19" s="6">
        <v>253188</v>
      </c>
      <c r="B19" s="1" t="s">
        <v>5</v>
      </c>
      <c r="C19" s="3" t="s">
        <v>27</v>
      </c>
      <c r="D19" s="2">
        <v>17</v>
      </c>
      <c r="E19" s="2"/>
    </row>
    <row r="20" spans="1:5" ht="15.6" x14ac:dyDescent="0.3">
      <c r="A20" s="6">
        <v>252531</v>
      </c>
      <c r="B20" s="1" t="s">
        <v>9</v>
      </c>
      <c r="C20" s="1"/>
      <c r="D20" s="2">
        <v>27</v>
      </c>
      <c r="E20" s="2"/>
    </row>
    <row r="21" spans="1:5" ht="15.6" x14ac:dyDescent="0.3">
      <c r="A21" s="6">
        <v>252527</v>
      </c>
      <c r="B21" s="1" t="s">
        <v>9</v>
      </c>
      <c r="C21" s="1"/>
      <c r="D21" s="2">
        <v>25</v>
      </c>
      <c r="E21" s="2"/>
    </row>
    <row r="22" spans="1:5" ht="15.6" x14ac:dyDescent="0.3">
      <c r="A22" s="6">
        <v>240400</v>
      </c>
      <c r="B22" s="1" t="s">
        <v>10</v>
      </c>
      <c r="C22" s="1"/>
      <c r="D22" s="2">
        <v>12</v>
      </c>
      <c r="E22" s="2"/>
    </row>
    <row r="23" spans="1:5" ht="15.6" x14ac:dyDescent="0.3">
      <c r="A23" s="6">
        <v>253410</v>
      </c>
      <c r="B23" s="1" t="s">
        <v>10</v>
      </c>
      <c r="C23" s="3" t="s">
        <v>28</v>
      </c>
      <c r="D23" s="2">
        <v>13</v>
      </c>
      <c r="E23" s="2"/>
    </row>
    <row r="24" spans="1:5" ht="15.6" x14ac:dyDescent="0.3">
      <c r="A24" s="6">
        <v>253410</v>
      </c>
      <c r="B24" s="1" t="s">
        <v>10</v>
      </c>
      <c r="C24" s="3" t="s">
        <v>29</v>
      </c>
      <c r="D24" s="2">
        <v>22</v>
      </c>
      <c r="E24" s="2"/>
    </row>
    <row r="25" spans="1:5" ht="15.6" x14ac:dyDescent="0.3">
      <c r="A25" s="6">
        <v>253410</v>
      </c>
      <c r="B25" s="1" t="s">
        <v>10</v>
      </c>
      <c r="C25" s="3" t="s">
        <v>30</v>
      </c>
      <c r="D25" s="2">
        <v>21</v>
      </c>
      <c r="E25" s="2"/>
    </row>
    <row r="26" spans="1:5" ht="15.6" x14ac:dyDescent="0.3">
      <c r="A26" s="6">
        <v>254492</v>
      </c>
      <c r="B26" s="1" t="s">
        <v>10</v>
      </c>
      <c r="C26" s="1"/>
      <c r="D26" s="2">
        <v>8</v>
      </c>
      <c r="E26" s="2"/>
    </row>
    <row r="27" spans="1:5" ht="15.6" x14ac:dyDescent="0.3">
      <c r="A27" s="6">
        <v>253486</v>
      </c>
      <c r="B27" s="1" t="s">
        <v>10</v>
      </c>
      <c r="C27" s="1" t="s">
        <v>31</v>
      </c>
      <c r="D27" s="2">
        <v>1</v>
      </c>
      <c r="E27" s="2" t="s">
        <v>32</v>
      </c>
    </row>
    <row r="28" spans="1:5" ht="15.6" x14ac:dyDescent="0.3">
      <c r="A28" s="6">
        <v>252486</v>
      </c>
      <c r="B28" s="1" t="s">
        <v>33</v>
      </c>
      <c r="C28" s="1"/>
      <c r="D28" s="2">
        <v>2</v>
      </c>
      <c r="E28" s="2"/>
    </row>
    <row r="29" spans="1:5" ht="15.6" x14ac:dyDescent="0.3">
      <c r="A29" s="6">
        <v>252151</v>
      </c>
      <c r="B29" s="1" t="s">
        <v>34</v>
      </c>
      <c r="C29" s="1"/>
      <c r="D29" s="2">
        <v>1</v>
      </c>
      <c r="E29" s="2"/>
    </row>
    <row r="30" spans="1:5" ht="15.6" x14ac:dyDescent="0.3">
      <c r="A30" s="6">
        <v>301336</v>
      </c>
      <c r="B30" s="1" t="s">
        <v>12</v>
      </c>
      <c r="C30" s="1" t="s">
        <v>35</v>
      </c>
      <c r="D30" s="2">
        <v>1</v>
      </c>
      <c r="E30" s="2"/>
    </row>
    <row r="31" spans="1:5" ht="15.6" x14ac:dyDescent="0.3">
      <c r="A31" s="6">
        <v>250619</v>
      </c>
      <c r="B31" s="1" t="s">
        <v>10</v>
      </c>
      <c r="C31" s="1"/>
      <c r="D31" s="2">
        <v>1</v>
      </c>
      <c r="E31" s="2"/>
    </row>
    <row r="32" spans="1:5" ht="15.6" x14ac:dyDescent="0.3">
      <c r="A32" s="6">
        <v>251361</v>
      </c>
      <c r="B32" s="1" t="s">
        <v>36</v>
      </c>
      <c r="C32" s="1"/>
      <c r="D32" s="2">
        <v>20</v>
      </c>
      <c r="E32" s="2"/>
    </row>
    <row r="33" spans="1:5" ht="15.6" x14ac:dyDescent="0.3">
      <c r="A33" s="6">
        <v>255020</v>
      </c>
      <c r="B33" s="1" t="s">
        <v>37</v>
      </c>
      <c r="C33" s="1"/>
      <c r="D33" s="2">
        <v>1</v>
      </c>
      <c r="E33" s="2"/>
    </row>
    <row r="34" spans="1:5" ht="15.6" x14ac:dyDescent="0.3">
      <c r="A34" s="6">
        <v>253949</v>
      </c>
      <c r="B34" s="1" t="s">
        <v>37</v>
      </c>
      <c r="C34" s="3" t="s">
        <v>38</v>
      </c>
      <c r="D34" s="2">
        <v>1</v>
      </c>
      <c r="E34" s="2"/>
    </row>
    <row r="35" spans="1:5" ht="15.6" x14ac:dyDescent="0.3">
      <c r="A35" s="6">
        <v>253949</v>
      </c>
      <c r="B35" s="1" t="s">
        <v>37</v>
      </c>
      <c r="C35" s="3" t="s">
        <v>39</v>
      </c>
      <c r="D35" s="2">
        <v>1</v>
      </c>
      <c r="E35" s="2"/>
    </row>
    <row r="36" spans="1:5" ht="31.2" x14ac:dyDescent="0.3">
      <c r="A36" s="6">
        <v>253980</v>
      </c>
      <c r="B36" s="1" t="s">
        <v>40</v>
      </c>
      <c r="C36" s="1" t="s">
        <v>41</v>
      </c>
      <c r="D36" s="2">
        <v>3</v>
      </c>
      <c r="E36" s="2"/>
    </row>
    <row r="37" spans="1:5" ht="27.6" customHeight="1" x14ac:dyDescent="0.3">
      <c r="A37" s="6">
        <v>252980</v>
      </c>
      <c r="B37" s="1" t="s">
        <v>40</v>
      </c>
      <c r="C37" s="1" t="s">
        <v>42</v>
      </c>
      <c r="D37" s="2">
        <v>3</v>
      </c>
      <c r="E37" s="2"/>
    </row>
    <row r="38" spans="1:5" ht="28.8" customHeight="1" x14ac:dyDescent="0.3">
      <c r="A38" s="6">
        <v>252980</v>
      </c>
      <c r="B38" s="1" t="s">
        <v>40</v>
      </c>
      <c r="C38" s="1" t="s">
        <v>43</v>
      </c>
      <c r="D38" s="2">
        <v>3</v>
      </c>
      <c r="E38" s="2"/>
    </row>
    <row r="39" spans="1:5" ht="31.2" x14ac:dyDescent="0.3">
      <c r="A39" s="6">
        <v>252980</v>
      </c>
      <c r="B39" s="1" t="s">
        <v>40</v>
      </c>
      <c r="C39" s="1" t="s">
        <v>44</v>
      </c>
      <c r="D39" s="2">
        <v>3</v>
      </c>
      <c r="E39" s="2"/>
    </row>
    <row r="40" spans="1:5" ht="15.6" x14ac:dyDescent="0.3">
      <c r="A40" s="6">
        <v>299466</v>
      </c>
      <c r="B40" s="1" t="s">
        <v>9</v>
      </c>
      <c r="C40" s="1"/>
      <c r="D40" s="2">
        <v>1</v>
      </c>
      <c r="E40" s="2"/>
    </row>
    <row r="41" spans="1:5" ht="15.6" x14ac:dyDescent="0.3">
      <c r="A41" s="6">
        <v>253300</v>
      </c>
      <c r="B41" s="1" t="s">
        <v>34</v>
      </c>
      <c r="C41" s="1"/>
      <c r="D41" s="2">
        <v>1</v>
      </c>
      <c r="E41" s="2"/>
    </row>
    <row r="42" spans="1:5" ht="15.6" x14ac:dyDescent="0.3">
      <c r="A42" s="6">
        <v>245629</v>
      </c>
      <c r="B42" s="1" t="s">
        <v>18</v>
      </c>
      <c r="C42" s="1"/>
      <c r="D42" s="2">
        <v>1</v>
      </c>
      <c r="E42" s="2"/>
    </row>
    <row r="43" spans="1:5" ht="15.6" x14ac:dyDescent="0.3">
      <c r="A43" s="6">
        <v>243081</v>
      </c>
      <c r="B43" s="1" t="s">
        <v>45</v>
      </c>
      <c r="C43" s="1"/>
      <c r="D43" s="2">
        <v>15</v>
      </c>
      <c r="E43" s="2"/>
    </row>
    <row r="44" spans="1:5" ht="28.8" customHeight="1" x14ac:dyDescent="0.3">
      <c r="A44" s="6">
        <v>248121</v>
      </c>
      <c r="B44" s="1" t="s">
        <v>12</v>
      </c>
      <c r="C44" s="1"/>
      <c r="D44" s="2">
        <v>53</v>
      </c>
      <c r="E44" s="2"/>
    </row>
    <row r="45" spans="1:5" ht="15.6" x14ac:dyDescent="0.3">
      <c r="A45" s="6">
        <v>252350</v>
      </c>
      <c r="B45" s="1" t="s">
        <v>46</v>
      </c>
      <c r="C45" s="3" t="s">
        <v>47</v>
      </c>
      <c r="D45" s="2">
        <v>3</v>
      </c>
      <c r="E45" s="2"/>
    </row>
    <row r="46" spans="1:5" ht="15.6" x14ac:dyDescent="0.3">
      <c r="A46" s="6">
        <v>252350</v>
      </c>
      <c r="B46" s="1" t="s">
        <v>46</v>
      </c>
      <c r="C46" s="3" t="s">
        <v>48</v>
      </c>
      <c r="D46" s="2">
        <v>15</v>
      </c>
      <c r="E46" s="2"/>
    </row>
    <row r="47" spans="1:5" ht="15.6" x14ac:dyDescent="0.3">
      <c r="A47" s="6">
        <v>240396</v>
      </c>
      <c r="B47" s="1" t="s">
        <v>10</v>
      </c>
      <c r="C47" s="1"/>
      <c r="D47" s="2">
        <v>16</v>
      </c>
      <c r="E47" s="2"/>
    </row>
    <row r="48" spans="1:5" ht="15.6" x14ac:dyDescent="0.3">
      <c r="A48" s="6">
        <v>252987</v>
      </c>
      <c r="B48" s="1" t="s">
        <v>33</v>
      </c>
      <c r="C48" s="1"/>
      <c r="D48" s="2">
        <v>4</v>
      </c>
      <c r="E48" s="2"/>
    </row>
    <row r="49" spans="1:5" ht="15.6" x14ac:dyDescent="0.3">
      <c r="A49" s="6">
        <v>251242</v>
      </c>
      <c r="B49" s="1" t="s">
        <v>49</v>
      </c>
      <c r="C49" s="1"/>
      <c r="D49" s="2">
        <v>5</v>
      </c>
      <c r="E49" s="2"/>
    </row>
    <row r="50" spans="1:5" ht="15.6" x14ac:dyDescent="0.3">
      <c r="A50" s="6">
        <v>243505</v>
      </c>
      <c r="B50" s="1" t="s">
        <v>50</v>
      </c>
      <c r="C50" s="1"/>
      <c r="D50" s="2">
        <v>30</v>
      </c>
      <c r="E50" s="2"/>
    </row>
    <row r="51" spans="1:5" ht="15.6" x14ac:dyDescent="0.3">
      <c r="A51" s="6">
        <v>245829</v>
      </c>
      <c r="B51" s="1" t="s">
        <v>51</v>
      </c>
      <c r="C51" s="1"/>
      <c r="D51" s="2">
        <v>7</v>
      </c>
      <c r="E51" s="2"/>
    </row>
    <row r="52" spans="1:5" ht="22.2" customHeight="1" x14ac:dyDescent="0.3">
      <c r="A52" s="6">
        <v>248835</v>
      </c>
      <c r="B52" s="1" t="s">
        <v>52</v>
      </c>
      <c r="C52" s="3" t="s">
        <v>53</v>
      </c>
      <c r="D52" s="2">
        <v>3</v>
      </c>
      <c r="E52" s="2"/>
    </row>
    <row r="53" spans="1:5" ht="15.6" x14ac:dyDescent="0.3">
      <c r="A53" s="6">
        <v>248835</v>
      </c>
      <c r="B53" s="1" t="s">
        <v>52</v>
      </c>
      <c r="C53" s="3" t="s">
        <v>54</v>
      </c>
      <c r="D53" s="2">
        <v>16</v>
      </c>
      <c r="E53" s="2"/>
    </row>
    <row r="54" spans="1:5" ht="15.6" x14ac:dyDescent="0.3">
      <c r="A54" s="6">
        <v>243505</v>
      </c>
      <c r="B54" s="1" t="s">
        <v>55</v>
      </c>
      <c r="C54" s="1"/>
      <c r="D54" s="2">
        <v>1</v>
      </c>
      <c r="E54" s="2"/>
    </row>
    <row r="55" spans="1:5" ht="15.6" x14ac:dyDescent="0.3">
      <c r="A55" s="6">
        <v>247550</v>
      </c>
      <c r="B55" s="1" t="s">
        <v>9</v>
      </c>
      <c r="C55" s="1"/>
      <c r="D55" s="2">
        <v>4</v>
      </c>
      <c r="E55" s="2"/>
    </row>
    <row r="56" spans="1:5" ht="15.6" x14ac:dyDescent="0.3">
      <c r="A56" s="6">
        <v>250421</v>
      </c>
      <c r="B56" s="1" t="s">
        <v>49</v>
      </c>
      <c r="C56" s="1"/>
      <c r="D56" s="2">
        <v>1</v>
      </c>
      <c r="E56" s="2"/>
    </row>
    <row r="57" spans="1:5" ht="15.6" x14ac:dyDescent="0.3">
      <c r="A57" s="6">
        <v>244042</v>
      </c>
      <c r="B57" s="1" t="s">
        <v>18</v>
      </c>
      <c r="C57" s="1"/>
      <c r="D57" s="2">
        <v>1</v>
      </c>
      <c r="E57" s="2"/>
    </row>
    <row r="58" spans="1:5" ht="21.6" customHeight="1" x14ac:dyDescent="0.3">
      <c r="A58" s="6">
        <v>252724</v>
      </c>
      <c r="B58" s="1" t="s">
        <v>33</v>
      </c>
      <c r="C58" s="1"/>
      <c r="D58" s="2">
        <v>1</v>
      </c>
      <c r="E58" s="2"/>
    </row>
    <row r="59" spans="1:5" ht="15.6" x14ac:dyDescent="0.3">
      <c r="A59" s="6">
        <v>248838</v>
      </c>
      <c r="B59" s="1" t="s">
        <v>56</v>
      </c>
      <c r="C59" s="1"/>
      <c r="D59" s="2">
        <v>5</v>
      </c>
      <c r="E59" s="2"/>
    </row>
    <row r="60" spans="1:5" ht="15.6" x14ac:dyDescent="0.3">
      <c r="A60" s="6">
        <v>249462</v>
      </c>
      <c r="B60" s="1" t="s">
        <v>57</v>
      </c>
      <c r="C60" s="1"/>
      <c r="D60" s="2">
        <v>2</v>
      </c>
      <c r="E60" s="2"/>
    </row>
    <row r="61" spans="1:5" ht="15.6" x14ac:dyDescent="0.3">
      <c r="A61" s="6">
        <v>254344</v>
      </c>
      <c r="B61" s="1" t="s">
        <v>52</v>
      </c>
      <c r="C61" s="1"/>
      <c r="D61" s="2">
        <v>1</v>
      </c>
      <c r="E61" s="2"/>
    </row>
    <row r="62" spans="1:5" ht="15.6" x14ac:dyDescent="0.3">
      <c r="A62" s="6">
        <v>240405</v>
      </c>
      <c r="B62" s="1" t="s">
        <v>10</v>
      </c>
      <c r="C62" s="1"/>
      <c r="D62" s="2">
        <v>15</v>
      </c>
      <c r="E62" s="2"/>
    </row>
    <row r="63" spans="1:5" ht="15.6" x14ac:dyDescent="0.3">
      <c r="A63" s="6">
        <v>243730</v>
      </c>
      <c r="B63" s="1" t="s">
        <v>36</v>
      </c>
      <c r="C63" s="1"/>
      <c r="D63" s="2">
        <v>30</v>
      </c>
      <c r="E63" s="2"/>
    </row>
    <row r="64" spans="1:5" ht="15.6" x14ac:dyDescent="0.3">
      <c r="A64" s="6">
        <v>255967</v>
      </c>
      <c r="B64" s="1" t="s">
        <v>58</v>
      </c>
      <c r="C64" s="1"/>
      <c r="D64" s="2">
        <v>20</v>
      </c>
      <c r="E64" s="2"/>
    </row>
    <row r="65" spans="1:5" ht="15.6" x14ac:dyDescent="0.3">
      <c r="A65" s="6">
        <v>254261</v>
      </c>
      <c r="B65" s="1" t="s">
        <v>10</v>
      </c>
      <c r="C65" s="3" t="s">
        <v>59</v>
      </c>
      <c r="D65" s="2">
        <v>5</v>
      </c>
      <c r="E65" s="2"/>
    </row>
    <row r="66" spans="1:5" ht="15.6" x14ac:dyDescent="0.3">
      <c r="A66" s="6">
        <v>251405</v>
      </c>
      <c r="B66" s="1" t="s">
        <v>60</v>
      </c>
      <c r="C66" s="3" t="s">
        <v>61</v>
      </c>
      <c r="D66" s="2">
        <v>40</v>
      </c>
      <c r="E66" s="2"/>
    </row>
    <row r="67" spans="1:5" ht="15.6" x14ac:dyDescent="0.3">
      <c r="A67" s="6">
        <v>248122</v>
      </c>
      <c r="B67" s="1" t="s">
        <v>12</v>
      </c>
      <c r="C67" s="1"/>
      <c r="D67" s="2">
        <v>66</v>
      </c>
      <c r="E67" s="2"/>
    </row>
    <row r="68" spans="1:5" ht="15.6" x14ac:dyDescent="0.3">
      <c r="A68" s="6">
        <v>251403</v>
      </c>
      <c r="B68" s="1" t="s">
        <v>60</v>
      </c>
      <c r="C68" s="1" t="s">
        <v>62</v>
      </c>
      <c r="D68" s="2">
        <v>8</v>
      </c>
      <c r="E68" s="2"/>
    </row>
    <row r="69" spans="1:5" ht="31.2" x14ac:dyDescent="0.3">
      <c r="A69" s="6">
        <v>251403</v>
      </c>
      <c r="B69" s="1" t="s">
        <v>60</v>
      </c>
      <c r="C69" s="1" t="s">
        <v>63</v>
      </c>
      <c r="D69" s="2">
        <v>8</v>
      </c>
      <c r="E69" s="2"/>
    </row>
    <row r="70" spans="1:5" ht="15.6" x14ac:dyDescent="0.3">
      <c r="A70" s="6">
        <v>308689</v>
      </c>
      <c r="B70" s="1" t="s">
        <v>10</v>
      </c>
      <c r="C70" s="1"/>
      <c r="D70" s="2">
        <v>35</v>
      </c>
      <c r="E70" s="2"/>
    </row>
    <row r="71" spans="1:5" ht="22.2" customHeight="1" x14ac:dyDescent="0.3">
      <c r="A71" s="6">
        <v>252297</v>
      </c>
      <c r="B71" s="1" t="s">
        <v>33</v>
      </c>
      <c r="C71" s="1"/>
      <c r="D71" s="2">
        <v>10</v>
      </c>
      <c r="E71" s="2"/>
    </row>
    <row r="72" spans="1:5" ht="14.4" customHeight="1" x14ac:dyDescent="0.3">
      <c r="A72" s="6">
        <v>255498</v>
      </c>
      <c r="B72" s="1" t="s">
        <v>52</v>
      </c>
      <c r="C72" s="1"/>
      <c r="D72" s="2">
        <v>10</v>
      </c>
      <c r="E72" s="2"/>
    </row>
    <row r="73" spans="1:5" ht="13.2" customHeight="1" x14ac:dyDescent="0.3">
      <c r="A73" s="6" t="s">
        <v>64</v>
      </c>
      <c r="B73" s="1" t="s">
        <v>9</v>
      </c>
      <c r="C73" s="1"/>
      <c r="D73" s="2">
        <v>5</v>
      </c>
      <c r="E73" s="2"/>
    </row>
    <row r="74" spans="1:5" ht="15.6" x14ac:dyDescent="0.3">
      <c r="A74" s="6">
        <v>250182</v>
      </c>
      <c r="B74" s="1" t="s">
        <v>37</v>
      </c>
      <c r="C74" s="1"/>
      <c r="D74" s="2">
        <v>20</v>
      </c>
      <c r="E74" s="2"/>
    </row>
    <row r="75" spans="1:5" ht="15.6" x14ac:dyDescent="0.3">
      <c r="A75" s="6">
        <v>251408</v>
      </c>
      <c r="B75" s="1" t="s">
        <v>65</v>
      </c>
      <c r="C75" s="1" t="s">
        <v>66</v>
      </c>
      <c r="D75" s="2" t="s">
        <v>67</v>
      </c>
      <c r="E75" s="2"/>
    </row>
    <row r="76" spans="1:5" ht="15.6" x14ac:dyDescent="0.3">
      <c r="A76" s="6">
        <v>252981</v>
      </c>
      <c r="B76" s="1" t="s">
        <v>40</v>
      </c>
      <c r="C76" s="1"/>
      <c r="D76" s="2">
        <v>2</v>
      </c>
      <c r="E76" s="2"/>
    </row>
    <row r="77" spans="1:5" ht="15.6" x14ac:dyDescent="0.3">
      <c r="A77" s="6" t="s">
        <v>68</v>
      </c>
      <c r="B77" s="1" t="s">
        <v>69</v>
      </c>
      <c r="C77" s="1"/>
      <c r="D77" s="2">
        <v>10</v>
      </c>
      <c r="E77" s="2"/>
    </row>
    <row r="78" spans="1:5" ht="31.2" customHeight="1" x14ac:dyDescent="0.3">
      <c r="A78" s="6">
        <v>254096</v>
      </c>
      <c r="B78" s="1" t="s">
        <v>70</v>
      </c>
      <c r="C78" s="1"/>
      <c r="D78" s="2">
        <v>25</v>
      </c>
      <c r="E78" s="2"/>
    </row>
    <row r="79" spans="1:5" ht="33" customHeight="1" x14ac:dyDescent="0.3">
      <c r="A79" s="6" t="s">
        <v>71</v>
      </c>
      <c r="B79" s="1" t="s">
        <v>72</v>
      </c>
      <c r="C79" s="1"/>
      <c r="D79" s="2">
        <v>40</v>
      </c>
      <c r="E79" s="2"/>
    </row>
    <row r="80" spans="1:5" ht="26.4" customHeight="1" x14ac:dyDescent="0.3">
      <c r="A80" s="6">
        <v>256783</v>
      </c>
      <c r="B80" s="1" t="s">
        <v>12</v>
      </c>
      <c r="C80" s="1"/>
      <c r="D80" s="2">
        <v>6</v>
      </c>
      <c r="E80" s="2"/>
    </row>
    <row r="81" spans="1:5" ht="15.6" x14ac:dyDescent="0.3">
      <c r="A81" s="6">
        <v>252659</v>
      </c>
      <c r="B81" s="1" t="s">
        <v>34</v>
      </c>
      <c r="C81" s="1"/>
      <c r="D81" s="2">
        <v>24</v>
      </c>
      <c r="E81" s="2"/>
    </row>
    <row r="82" spans="1:5" ht="15.6" x14ac:dyDescent="0.3">
      <c r="A82" s="6">
        <v>252432</v>
      </c>
      <c r="B82" s="1" t="s">
        <v>73</v>
      </c>
      <c r="C82" s="1"/>
      <c r="D82" s="2">
        <v>30</v>
      </c>
      <c r="E82" s="2"/>
    </row>
    <row r="83" spans="1:5" ht="15.6" x14ac:dyDescent="0.3">
      <c r="A83" s="6" t="s">
        <v>74</v>
      </c>
      <c r="B83" s="1" t="s">
        <v>9</v>
      </c>
      <c r="C83" s="1"/>
      <c r="D83" s="2">
        <v>20</v>
      </c>
      <c r="E83" s="2"/>
    </row>
    <row r="84" spans="1:5" ht="15.6" x14ac:dyDescent="0.3">
      <c r="A84" s="6">
        <v>250058</v>
      </c>
      <c r="B84" s="1" t="s">
        <v>18</v>
      </c>
      <c r="C84" s="3" t="s">
        <v>75</v>
      </c>
      <c r="D84" s="2">
        <v>3</v>
      </c>
      <c r="E84" s="2"/>
    </row>
    <row r="85" spans="1:5" ht="15.6" x14ac:dyDescent="0.3">
      <c r="A85" s="6">
        <v>250058</v>
      </c>
      <c r="B85" s="1" t="s">
        <v>18</v>
      </c>
      <c r="C85" s="3" t="s">
        <v>76</v>
      </c>
      <c r="D85" s="2">
        <v>3</v>
      </c>
      <c r="E85" s="2"/>
    </row>
    <row r="86" spans="1:5" ht="15.6" x14ac:dyDescent="0.3">
      <c r="A86" s="6">
        <v>247771</v>
      </c>
      <c r="B86" s="1" t="s">
        <v>77</v>
      </c>
      <c r="C86" s="1"/>
      <c r="D86" s="2">
        <v>6</v>
      </c>
      <c r="E86" s="2"/>
    </row>
    <row r="87" spans="1:5" ht="15.6" x14ac:dyDescent="0.3">
      <c r="A87" s="6">
        <v>249482</v>
      </c>
      <c r="B87" s="1" t="s">
        <v>77</v>
      </c>
      <c r="C87" s="1"/>
      <c r="D87" s="2">
        <v>2</v>
      </c>
      <c r="E87" s="2"/>
    </row>
    <row r="88" spans="1:5" ht="15.6" x14ac:dyDescent="0.3">
      <c r="A88" s="6">
        <v>253738</v>
      </c>
      <c r="B88" s="1" t="s">
        <v>73</v>
      </c>
      <c r="C88" s="1"/>
      <c r="D88" s="2">
        <v>4</v>
      </c>
      <c r="E88" s="2"/>
    </row>
    <row r="89" spans="1:5" ht="15.6" x14ac:dyDescent="0.3">
      <c r="A89" s="6">
        <v>256776</v>
      </c>
      <c r="B89" s="1" t="s">
        <v>8</v>
      </c>
      <c r="C89" s="1"/>
      <c r="D89" s="2">
        <v>4</v>
      </c>
      <c r="E89" s="2"/>
    </row>
    <row r="90" spans="1:5" ht="15.6" x14ac:dyDescent="0.3">
      <c r="A90" s="6" t="s">
        <v>78</v>
      </c>
      <c r="B90" s="1" t="s">
        <v>10</v>
      </c>
      <c r="C90" s="1" t="s">
        <v>79</v>
      </c>
      <c r="D90" s="2">
        <v>4</v>
      </c>
      <c r="E90" s="2" t="s">
        <v>80</v>
      </c>
    </row>
    <row r="91" spans="1:5" ht="15.6" x14ac:dyDescent="0.3">
      <c r="A91" s="6">
        <v>254559</v>
      </c>
      <c r="B91" s="11" t="s">
        <v>9</v>
      </c>
      <c r="C91" s="3" t="s">
        <v>24</v>
      </c>
      <c r="D91" s="2">
        <v>12</v>
      </c>
      <c r="E91" s="2" t="s">
        <v>100</v>
      </c>
    </row>
    <row r="92" spans="1:5" ht="15.6" x14ac:dyDescent="0.3">
      <c r="A92" s="6">
        <v>252738</v>
      </c>
      <c r="B92" s="1" t="s">
        <v>34</v>
      </c>
      <c r="C92" s="1"/>
      <c r="D92" s="2">
        <v>1</v>
      </c>
      <c r="E92" s="2"/>
    </row>
    <row r="93" spans="1:5" ht="15.6" x14ac:dyDescent="0.3">
      <c r="A93" s="6">
        <v>253135</v>
      </c>
      <c r="B93" s="1" t="s">
        <v>37</v>
      </c>
      <c r="C93" s="1"/>
      <c r="D93" s="2">
        <v>1</v>
      </c>
      <c r="E93" s="2"/>
    </row>
    <row r="94" spans="1:5" ht="15.6" x14ac:dyDescent="0.3">
      <c r="A94" s="6">
        <v>253145</v>
      </c>
      <c r="B94" s="1" t="s">
        <v>37</v>
      </c>
      <c r="C94" s="1"/>
      <c r="D94" s="2">
        <v>1</v>
      </c>
      <c r="E94" s="2"/>
    </row>
    <row r="95" spans="1:5" ht="15.6" x14ac:dyDescent="0.3">
      <c r="A95" s="6">
        <v>252862</v>
      </c>
      <c r="B95" s="1" t="s">
        <v>72</v>
      </c>
      <c r="C95" s="1"/>
      <c r="D95" s="2">
        <v>1</v>
      </c>
      <c r="E95" s="2"/>
    </row>
    <row r="96" spans="1:5" ht="15.6" x14ac:dyDescent="0.3">
      <c r="A96" s="6">
        <v>242889</v>
      </c>
      <c r="B96" s="1" t="s">
        <v>10</v>
      </c>
      <c r="C96" s="1"/>
      <c r="D96" s="2">
        <v>1</v>
      </c>
      <c r="E96" s="2"/>
    </row>
    <row r="97" spans="1:5" ht="15.6" x14ac:dyDescent="0.3">
      <c r="A97" s="6">
        <v>240297</v>
      </c>
      <c r="B97" s="1" t="s">
        <v>10</v>
      </c>
      <c r="C97" s="1"/>
      <c r="D97" s="2">
        <v>1</v>
      </c>
      <c r="E97" s="2"/>
    </row>
    <row r="98" spans="1:5" x14ac:dyDescent="0.3">
      <c r="A98" s="7" t="s">
        <v>81</v>
      </c>
      <c r="B98" s="4" t="s">
        <v>82</v>
      </c>
      <c r="C98" s="4" t="s">
        <v>83</v>
      </c>
      <c r="D98" s="5">
        <v>3</v>
      </c>
      <c r="E98" s="5"/>
    </row>
    <row r="99" spans="1:5" x14ac:dyDescent="0.3">
      <c r="A99" s="7" t="s">
        <v>81</v>
      </c>
      <c r="B99" s="4" t="s">
        <v>82</v>
      </c>
      <c r="C99" s="4" t="s">
        <v>84</v>
      </c>
      <c r="D99" s="5">
        <v>6</v>
      </c>
      <c r="E99" s="5"/>
    </row>
    <row r="100" spans="1:5" x14ac:dyDescent="0.3">
      <c r="A100" s="7">
        <v>258646</v>
      </c>
      <c r="B100" s="4" t="s">
        <v>70</v>
      </c>
      <c r="C100" s="4" t="s">
        <v>85</v>
      </c>
      <c r="D100" s="5">
        <v>6</v>
      </c>
      <c r="E100" s="5"/>
    </row>
    <row r="101" spans="1:5" x14ac:dyDescent="0.3">
      <c r="A101" s="7">
        <v>258646</v>
      </c>
      <c r="B101" s="4" t="s">
        <v>70</v>
      </c>
      <c r="C101" s="4" t="s">
        <v>86</v>
      </c>
      <c r="D101" s="5">
        <v>1</v>
      </c>
      <c r="E101" s="5"/>
    </row>
    <row r="102" spans="1:5" x14ac:dyDescent="0.3">
      <c r="A102" s="7">
        <v>316278</v>
      </c>
      <c r="B102" s="4" t="s">
        <v>8</v>
      </c>
      <c r="C102" s="4" t="s">
        <v>84</v>
      </c>
      <c r="D102" s="5">
        <v>6</v>
      </c>
      <c r="E102" s="5"/>
    </row>
    <row r="103" spans="1:5" x14ac:dyDescent="0.3">
      <c r="A103" s="7">
        <v>258814</v>
      </c>
      <c r="B103" s="4" t="s">
        <v>87</v>
      </c>
      <c r="C103" s="4" t="s">
        <v>88</v>
      </c>
      <c r="D103" s="5">
        <v>11</v>
      </c>
      <c r="E103" s="5"/>
    </row>
    <row r="104" spans="1:5" x14ac:dyDescent="0.3">
      <c r="A104" s="7">
        <v>258643</v>
      </c>
      <c r="B104" s="4" t="s">
        <v>89</v>
      </c>
      <c r="C104" s="4" t="s">
        <v>83</v>
      </c>
      <c r="D104" s="5">
        <v>10</v>
      </c>
      <c r="E104" s="5"/>
    </row>
    <row r="105" spans="1:5" x14ac:dyDescent="0.3">
      <c r="A105" s="7">
        <v>258643</v>
      </c>
      <c r="B105" s="4" t="s">
        <v>89</v>
      </c>
      <c r="C105" s="4" t="s">
        <v>90</v>
      </c>
      <c r="D105" s="5">
        <v>10</v>
      </c>
      <c r="E105" s="5"/>
    </row>
    <row r="106" spans="1:5" x14ac:dyDescent="0.3">
      <c r="A106" s="7">
        <v>258643</v>
      </c>
      <c r="B106" s="4" t="s">
        <v>89</v>
      </c>
      <c r="C106" s="4" t="s">
        <v>84</v>
      </c>
      <c r="D106" s="5">
        <v>10</v>
      </c>
      <c r="E106" s="5"/>
    </row>
    <row r="107" spans="1:5" x14ac:dyDescent="0.3">
      <c r="A107" s="7">
        <v>259105</v>
      </c>
      <c r="B107" s="4" t="s">
        <v>12</v>
      </c>
      <c r="C107" s="4" t="s">
        <v>91</v>
      </c>
      <c r="D107" s="5">
        <v>6</v>
      </c>
      <c r="E107" s="5"/>
    </row>
    <row r="108" spans="1:5" x14ac:dyDescent="0.3">
      <c r="A108" s="7">
        <v>259137</v>
      </c>
      <c r="B108" s="4" t="s">
        <v>92</v>
      </c>
      <c r="C108" s="4" t="s">
        <v>84</v>
      </c>
      <c r="D108" s="5">
        <v>17</v>
      </c>
      <c r="E108" s="5"/>
    </row>
    <row r="109" spans="1:5" x14ac:dyDescent="0.3">
      <c r="A109" s="7">
        <v>259137</v>
      </c>
      <c r="B109" s="4" t="s">
        <v>92</v>
      </c>
      <c r="C109" s="4" t="s">
        <v>83</v>
      </c>
      <c r="D109" s="5">
        <v>17</v>
      </c>
      <c r="E109" s="5"/>
    </row>
    <row r="110" spans="1:5" x14ac:dyDescent="0.3">
      <c r="A110" s="7">
        <v>259036</v>
      </c>
      <c r="B110" s="4" t="s">
        <v>8</v>
      </c>
      <c r="C110" s="4" t="s">
        <v>93</v>
      </c>
      <c r="D110" s="5">
        <v>20</v>
      </c>
      <c r="E110" s="5"/>
    </row>
    <row r="111" spans="1:5" x14ac:dyDescent="0.3">
      <c r="A111" s="7" t="s">
        <v>94</v>
      </c>
      <c r="B111" s="4" t="s">
        <v>9</v>
      </c>
      <c r="C111" s="4" t="s">
        <v>95</v>
      </c>
      <c r="D111" s="5">
        <v>65</v>
      </c>
      <c r="E111" s="5"/>
    </row>
    <row r="112" spans="1:5" x14ac:dyDescent="0.3">
      <c r="A112" s="7">
        <v>316870</v>
      </c>
      <c r="B112" s="4" t="s">
        <v>96</v>
      </c>
      <c r="C112" s="4" t="s">
        <v>97</v>
      </c>
      <c r="D112" s="5">
        <v>200</v>
      </c>
      <c r="E112" s="5"/>
    </row>
    <row r="113" spans="1:5" x14ac:dyDescent="0.3">
      <c r="A113" s="7">
        <v>316870</v>
      </c>
      <c r="B113" s="4" t="s">
        <v>96</v>
      </c>
      <c r="C113" s="4" t="s">
        <v>98</v>
      </c>
      <c r="D113" s="5">
        <v>28</v>
      </c>
      <c r="E113" s="5"/>
    </row>
    <row r="114" spans="1:5" x14ac:dyDescent="0.3">
      <c r="A114" s="8">
        <v>242880</v>
      </c>
      <c r="B114" s="9" t="s">
        <v>5</v>
      </c>
      <c r="C114" s="9" t="s">
        <v>7</v>
      </c>
      <c r="D114" s="10">
        <v>18</v>
      </c>
      <c r="E114" s="10"/>
    </row>
    <row r="115" spans="1:5" x14ac:dyDescent="0.3">
      <c r="A115" s="8">
        <v>242880</v>
      </c>
      <c r="B115" s="9" t="s">
        <v>5</v>
      </c>
      <c r="C115" s="9" t="s">
        <v>6</v>
      </c>
      <c r="D115" s="10">
        <v>10</v>
      </c>
      <c r="E115" s="10"/>
    </row>
    <row r="116" spans="1:5" x14ac:dyDescent="0.3">
      <c r="A116" s="8" t="s">
        <v>99</v>
      </c>
      <c r="B116" s="9" t="s">
        <v>13</v>
      </c>
      <c r="C116" s="9" t="s">
        <v>15</v>
      </c>
      <c r="D116" s="10">
        <v>5</v>
      </c>
      <c r="E116" s="10"/>
    </row>
    <row r="117" spans="1:5" x14ac:dyDescent="0.3">
      <c r="A117" s="8">
        <v>250087</v>
      </c>
      <c r="B117" s="9" t="s">
        <v>9</v>
      </c>
      <c r="C117" s="9"/>
      <c r="D117" s="10">
        <v>15</v>
      </c>
      <c r="E117" s="10">
        <v>0</v>
      </c>
    </row>
    <row r="118" spans="1:5" x14ac:dyDescent="0.3">
      <c r="A118" s="8">
        <v>248639</v>
      </c>
      <c r="B118" s="9" t="s">
        <v>8</v>
      </c>
      <c r="C118" s="9"/>
      <c r="D118" s="10">
        <v>3</v>
      </c>
      <c r="E118" s="10"/>
    </row>
    <row r="119" spans="1:5" x14ac:dyDescent="0.3">
      <c r="A119" s="8"/>
      <c r="B119" s="9"/>
      <c r="C119" s="9"/>
      <c r="D119" s="10"/>
      <c r="E119" s="10"/>
    </row>
    <row r="120" spans="1:5" x14ac:dyDescent="0.3">
      <c r="A120" s="8"/>
      <c r="B120" s="9"/>
      <c r="C120" s="9"/>
      <c r="D120" s="10"/>
      <c r="E120" s="10"/>
    </row>
    <row r="121" spans="1:5" x14ac:dyDescent="0.3">
      <c r="A121" s="8"/>
      <c r="B121" s="9"/>
      <c r="C121" s="9"/>
      <c r="D121" s="10"/>
      <c r="E121" s="10"/>
    </row>
    <row r="122" spans="1:5" x14ac:dyDescent="0.3">
      <c r="A122" s="8"/>
      <c r="B122" s="9"/>
      <c r="C122" s="9"/>
      <c r="D122" s="10"/>
      <c r="E122" s="10"/>
    </row>
    <row r="123" spans="1:5" x14ac:dyDescent="0.3">
      <c r="A123" s="8"/>
      <c r="B123" s="9"/>
      <c r="C123" s="9"/>
      <c r="D123" s="10"/>
      <c r="E123" s="10"/>
    </row>
    <row r="124" spans="1:5" x14ac:dyDescent="0.3">
      <c r="A124" s="8"/>
      <c r="B124" s="9"/>
      <c r="C124" s="9"/>
      <c r="D124" s="10"/>
      <c r="E124" s="10"/>
    </row>
    <row r="126" spans="1:5" x14ac:dyDescent="0.3">
      <c r="A126" s="8"/>
      <c r="B126" s="9"/>
      <c r="C126" s="9"/>
      <c r="D126" s="10"/>
      <c r="E126" s="10"/>
    </row>
    <row r="127" spans="1:5" x14ac:dyDescent="0.3">
      <c r="A127" s="8"/>
      <c r="B127" s="9"/>
      <c r="C127" s="9"/>
      <c r="D127" s="10"/>
      <c r="E127" s="10"/>
    </row>
    <row r="128" spans="1:5" x14ac:dyDescent="0.3">
      <c r="A128" s="8"/>
      <c r="B128" s="9"/>
      <c r="C128" s="9"/>
      <c r="D128" s="10"/>
      <c r="E128" s="10"/>
    </row>
    <row r="129" spans="1:5" x14ac:dyDescent="0.3">
      <c r="A129" s="8"/>
      <c r="B129" s="9"/>
      <c r="C129" s="9"/>
      <c r="D129" s="10"/>
      <c r="E129" s="10"/>
    </row>
    <row r="130" spans="1:5" x14ac:dyDescent="0.3">
      <c r="A130" s="8"/>
      <c r="B130" s="9"/>
      <c r="C130" s="9"/>
      <c r="D130" s="10"/>
      <c r="E130" s="10"/>
    </row>
    <row r="132" spans="1:5" x14ac:dyDescent="0.3">
      <c r="A132" s="8"/>
      <c r="B132" s="9"/>
      <c r="C132" s="9"/>
      <c r="D132" s="10"/>
      <c r="E132" s="10"/>
    </row>
    <row r="133" spans="1:5" x14ac:dyDescent="0.3">
      <c r="A133" s="8"/>
      <c r="B133" s="9"/>
      <c r="C133" s="9"/>
      <c r="D133" s="10"/>
      <c r="E133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9CF0E-6C9F-4A3F-B855-A84F4DA16D73}">
  <sheetPr codeName="FeuilCalcul"/>
  <dimension ref="A1:I2"/>
  <sheetViews>
    <sheetView workbookViewId="0">
      <selection activeCell="F2" sqref="F2"/>
    </sheetView>
  </sheetViews>
  <sheetFormatPr baseColWidth="10" defaultRowHeight="14.4" x14ac:dyDescent="0.3"/>
  <cols>
    <col min="2" max="2" width="15.44140625" customWidth="1"/>
    <col min="3" max="4" width="21.109375" customWidth="1"/>
    <col min="5" max="5" width="18.5546875" customWidth="1"/>
    <col min="6" max="6" width="13.5546875" customWidth="1"/>
    <col min="8" max="8" width="23.109375" customWidth="1"/>
    <col min="9" max="9" width="26" customWidth="1"/>
  </cols>
  <sheetData>
    <row r="1" spans="1:9" x14ac:dyDescent="0.3">
      <c r="A1" s="16" t="s">
        <v>102</v>
      </c>
      <c r="B1" s="16" t="s">
        <v>103</v>
      </c>
      <c r="C1" s="16" t="s">
        <v>104</v>
      </c>
      <c r="D1" s="16" t="s">
        <v>108</v>
      </c>
      <c r="E1" s="16" t="s">
        <v>105</v>
      </c>
      <c r="F1" s="16" t="s">
        <v>106</v>
      </c>
      <c r="H1" s="16" t="s">
        <v>107</v>
      </c>
      <c r="I1" s="16" t="s">
        <v>109</v>
      </c>
    </row>
    <row r="2" spans="1:9" ht="15.6" x14ac:dyDescent="0.3">
      <c r="A2" s="6" t="s">
        <v>99</v>
      </c>
      <c r="B2" s="15">
        <v>5</v>
      </c>
      <c r="C2" s="15"/>
      <c r="D2" s="15">
        <v>7</v>
      </c>
      <c r="E2" s="15" t="str">
        <f>IF(AND(B2&gt;=C2,B2 &lt;&gt; 0),"Livraison Possible","Livraison impossible")</f>
        <v>Livraison Possible</v>
      </c>
      <c r="F2" s="15" t="str">
        <f>IF(E2="Livraison impossible","NON",IF(Col_QttLivrer&gt;Col_QttStock,"NON","OUI"))</f>
        <v>OUI</v>
      </c>
      <c r="H2" s="17">
        <f>B2-C2</f>
        <v>5</v>
      </c>
      <c r="I2" s="17">
        <f>B2+D2</f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Accuiel</vt:lpstr>
      <vt:lpstr>au 18 11 2021</vt:lpstr>
      <vt:lpstr>Calcul</vt:lpstr>
      <vt:lpstr>Col_codeEtude</vt:lpstr>
      <vt:lpstr>Col_LivrerOuPas</vt:lpstr>
      <vt:lpstr>Col_QttEntrer</vt:lpstr>
      <vt:lpstr>Col_QttLivrer</vt:lpstr>
      <vt:lpstr>Col_QttStock</vt:lpstr>
      <vt:lpstr>Col_Statut</vt:lpstr>
      <vt:lpstr>QttAprés</vt:lpstr>
      <vt:lpstr>QttApresLentrer</vt:lpstr>
      <vt:lpstr>QttAprs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Service Client</dc:creator>
  <cp:keywords/>
  <dc:description/>
  <cp:lastModifiedBy>boughanime</cp:lastModifiedBy>
  <cp:revision/>
  <dcterms:created xsi:type="dcterms:W3CDTF">2015-06-05T18:19:34Z</dcterms:created>
  <dcterms:modified xsi:type="dcterms:W3CDTF">2022-04-21T13:04:34Z</dcterms:modified>
  <cp:category/>
  <cp:contentStatus/>
</cp:coreProperties>
</file>